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บริษัทฝึกงาน" state="visible" r:id="rId4"/>
    <sheet sheetId="2" name="สรุปและลำดับดำเนินการ" state="visible" r:id="rId5"/>
    <sheet sheetId="3" name="คำอธิบายและแหล่งข้อมูล" state="visible" r:id="rId6"/>
  </sheets>
  <calcPr calcId="171027"/>
</workbook>
</file>

<file path=xl/sharedStrings.xml><?xml version="1.0" encoding="utf-8"?>
<sst xmlns="http://schemas.openxmlformats.org/spreadsheetml/2006/main" count="162" uniqueCount="134">
  <si>
    <t>Tech Internship Tracker — Excel Template</t>
  </si>
  <si>
    <t>ไฟล์แม่แบบสำหรับโปรเจกต์ | มีข้อมูล mock 4 แถวเพื่อสาธิต — ลบหรือแทนที่ก่อนใช้งานจริง</t>
  </si>
  <si>
    <t>ลำดับ</t>
  </si>
  <si>
    <t>ชื่อที่รู้จัก</t>
  </si>
  <si>
    <t>ธุรกิจ</t>
  </si>
  <si>
    <t>สาย Tech ที่เกี่ยวข้อง</t>
  </si>
  <si>
    <t>ที่ตั้ง/สถานที่ฝึกในไทย</t>
  </si>
  <si>
    <t>รูปแบบทำงาน</t>
  </si>
  <si>
    <t>ข้อมูลติดต่อ HR / บริษัท</t>
  </si>
  <si>
    <t>ลิงก์สมัคร/อาชีพ</t>
  </si>
  <si>
    <t>สถานะประกาศ</t>
  </si>
  <si>
    <t>ช่วงเปิดรับ/Deadline</t>
  </si>
  <si>
    <t>วันปิดรับ</t>
  </si>
  <si>
    <t>ช่วงฝึกงาน/สหกิจ</t>
  </si>
  <si>
    <t>ประเภทโปรแกรม</t>
  </si>
  <si>
    <t>คุณสมบัติ/หมายเหตุ</t>
  </si>
  <si>
    <t>แหล่งอ้างอิงหลัก</t>
  </si>
  <si>
    <t>แหล่งอ้างอิงเสริม</t>
  </si>
  <si>
    <t>ตรวจสอบล่าสุด</t>
  </si>
  <si>
    <t>ระดับหลักฐาน</t>
  </si>
  <si>
    <t>สถานะของคุณ</t>
  </si>
  <si>
    <t>วันที่ติดต่อ</t>
  </si>
  <si>
    <t>ติดตามครั้งถัดไป</t>
  </si>
  <si>
    <t>หมายเหตุส่วนตัว</t>
  </si>
  <si>
    <t>_record_id</t>
  </si>
  <si>
    <t>ชื่อเต็ม</t>
  </si>
  <si>
    <t>โครงการที่เปิดรับ</t>
  </si>
  <si>
    <t>Agoda</t>
  </si>
  <si>
    <t>Travel Tech / OTA</t>
  </si>
  <si>
    <t>SWE; AI/Data; Product</t>
  </si>
  <si>
    <t>กรุงเทพฯ</t>
  </si>
  <si>
    <t>Hybrid</t>
  </si>
  <si>
    <t>สมัครผ่าน Careers</t>
  </si>
  <si>
    <t>https://careersatagoda.com/department/students/</t>
  </si>
  <si>
    <t>Rolling</t>
  </si>
  <si>
    <t>Off-cycle เปิดตลอดปี</t>
  </si>
  <si>
    <t>Co-op 4–6 เดือน</t>
  </si>
  <si>
    <t>Co-op</t>
  </si>
  <si>
    <t>ข้อมูลตัวอย่างสำหรับเริ่มต้นใช้งาน</t>
  </si>
  <si>
    <t>https://careersatagoda.com/</t>
  </si>
  <si>
    <t>A</t>
  </si>
  <si>
    <t>ลบหรือแทนที่ข้อมูล mock ก่อนใช้งานจริง</t>
  </si>
  <si>
    <t>11111111-1111-4111-8111-111111111111</t>
  </si>
  <si>
    <t>Agoda Services Co., Ltd.</t>
  </si>
  <si>
    <t>Agoda Off-Cycle Internship / Co-op</t>
  </si>
  <si>
    <t>ttb spark</t>
  </si>
  <si>
    <t>Banking Technology / Data</t>
  </si>
  <si>
    <t>QA; Software; Data</t>
  </si>
  <si>
    <t>สมัครผ่าน Spark Academy</t>
  </si>
  <si>
    <t>https://www.ttbspark.com/spark-academy</t>
  </si>
  <si>
    <t>เปิดรับ</t>
  </si>
  <si>
    <t>Tech &amp; Data Internship 3–6 เดือน</t>
  </si>
  <si>
    <t>3–6 เดือน</t>
  </si>
  <si>
    <t>Internship</t>
  </si>
  <si>
    <t>ข้อมูล mock สำหรับสาธิต dropdown และ deadline</t>
  </si>
  <si>
    <t>https://www.ttbspark.com/join-us/Internship-QA</t>
  </si>
  <si>
    <t>ข้อมูล mock</t>
  </si>
  <si>
    <t>22222222-2222-4222-8222-222222222222</t>
  </si>
  <si>
    <t>TMBThanachart Bank Public Company Limited</t>
  </si>
  <si>
    <t>Tech &amp; Data Internship — Test Engineer / QA Automation</t>
  </si>
  <si>
    <t>FINNOMENA</t>
  </si>
  <si>
    <t>FinTech / Investment Platform</t>
  </si>
  <si>
    <t>UX/UI; Data; Software</t>
  </si>
  <si>
    <t>internship@finnomena.com</t>
  </si>
  <si>
    <t>https://www.finnomena.com/internship-positions/</t>
  </si>
  <si>
    <t>Open Internship Position</t>
  </si>
  <si>
    <t>ตามตำแหน่ง</t>
  </si>
  <si>
    <t>ข้อมูล mock สำหรับสาธิตช่องทางติดต่อ</t>
  </si>
  <si>
    <t>https://finnomena.com</t>
  </si>
  <si>
    <t>33333333-3333-4333-8333-333333333333</t>
  </si>
  <si>
    <t>Finnomena Co., Ltd.</t>
  </si>
  <si>
    <t>Creative Content; Investment Specialist; Performance Marketing; UX/UI Designer</t>
  </si>
  <si>
    <t>Yannix</t>
  </si>
  <si>
    <t>VFX / Software Services</t>
  </si>
  <si>
    <t>SWE; Data; Pipeline</t>
  </si>
  <si>
    <t>On-site</t>
  </si>
  <si>
    <t>สมัครผ่าน Internship Program</t>
  </si>
  <si>
    <t>https://www.yannix.com/internship-program/</t>
  </si>
  <si>
    <t>เปิดรับตลอดปี</t>
  </si>
  <si>
    <t>2 เดือน–1 ปี</t>
  </si>
  <si>
    <t>ข้อมูล mock สำหรับสาธิต Rolling</t>
  </si>
  <si>
    <t>https://www.yannix.com/careers</t>
  </si>
  <si>
    <t>44444444-4444-4444-8444-444444444444</t>
  </si>
  <si>
    <t>Yannix Co., Ltd.</t>
  </si>
  <si>
    <t>Yannix Internship Program</t>
  </si>
  <si>
    <t>สรุปและลำดับดำเนินการ — Template</t>
  </si>
  <si>
    <t>สูตรอ้างอิงชีตบริษัทฝึกงาน | เพิ่มข้อมูลผ่านเว็บหรือคัดลอกแถวตามโครงสร้างเดิม</t>
  </si>
  <si>
    <t>ตัวชี้วัด</t>
  </si>
  <si>
    <t>จำนวน</t>
  </si>
  <si>
    <t>สายงาน (นับซ้อนกันได้)</t>
  </si>
  <si>
    <t>จำนวนบริษัท</t>
  </si>
  <si>
    <t>บริษัททั้งหมด</t>
  </si>
  <si>
    <t>Software / Developer</t>
  </si>
  <si>
    <t>AI / Data</t>
  </si>
  <si>
    <t>QA / Testing</t>
  </si>
  <si>
    <t>พร้อมสมัคร (เปิดรับ + Rolling)</t>
  </si>
  <si>
    <t>Cloud / DevOps / Infra</t>
  </si>
  <si>
    <t>ยังไม่เปิดรอบ</t>
  </si>
  <si>
    <t>Cybersecurity</t>
  </si>
  <si>
    <t>ปิดรับแล้ว</t>
  </si>
  <si>
    <t>ไม่พบประกาศปัจจุบัน</t>
  </si>
  <si>
    <t>ต้องยืนยัน</t>
  </si>
  <si>
    <t>Duplicate ที่เหลือ</t>
  </si>
  <si>
    <t>คำอธิบายและแหล่งข้อมูล — Template</t>
  </si>
  <si>
    <t>ใช้คู่กับ Tech Internship Tracker เท่านั้น | ข้อมูลในแถว 5–8 เป็น mock data สำหรับสาธิต</t>
  </si>
  <si>
    <t>ความหมาย</t>
  </si>
  <si>
    <t>เกณฑ์</t>
  </si>
  <si>
    <t>กติกาสำคัญ</t>
  </si>
  <si>
    <t>รายละเอียด</t>
  </si>
  <si>
    <t>พบ Tech Internship ปัจจุบันและมีช่องสมัคร</t>
  </si>
  <si>
    <t>Official internship page / ATS / direct official posting</t>
  </si>
  <si>
    <t>1</t>
  </si>
  <si>
    <t>ห้ามเปลี่ยนชื่อชีตและ header แถว 4</t>
  </si>
  <si>
    <t>รับต่อเนื่องหรือทั้งปีโดยมีหลักฐานปัจจุบัน</t>
  </si>
  <si>
    <t>B</t>
  </si>
  <si>
    <t>Direct current job board / external posting ที่ระบุชัด</t>
  </si>
  <si>
    <t>2</t>
  </si>
  <si>
    <t>Company name ต้องไม่ว่างและไม่ซ้ำ</t>
  </si>
  <si>
    <t>มีโปรแกรมแต่รอบปัจจุบันยังไม่เปิด</t>
  </si>
  <si>
    <t>C</t>
  </si>
  <si>
    <t>Official source แต่ไม่พบ direct Tech Internship opening</t>
  </si>
  <si>
    <t>3</t>
  </si>
  <si>
    <t>วันที่ใช้รูปแบบ yyyy-mm-dd และเว้นว่างได้</t>
  </si>
  <si>
    <t>ประกาศหรือรอบที่ยืนยันได้ปิดแล้ว</t>
  </si>
  <si>
    <t>4</t>
  </si>
  <si>
    <t>คั่น tags ด้วย ; เช่น SWE; Data; Cloud</t>
  </si>
  <si>
    <t>ไม่พบ Tech Internship ในไทยที่ active</t>
  </si>
  <si>
    <t>5</t>
  </si>
  <si>
    <t>ห้ามแก้ _record_id ในคอลัมน์ W</t>
  </si>
  <si>
    <t>6</t>
  </si>
  <si>
    <t>ลบข้อมูล mock ก่อนเริ่มใช้งานจริง</t>
  </si>
  <si>
    <t>7</t>
  </si>
  <si>
    <t>เก็บไฟล์ข้อมูลจริงนอก Git repository</t>
  </si>
  <si>
    <t>ขั้นตอนเริ่มต้น: 1) copy template เป็นไฟล์ .xlsx ใหม่ 2) ลบแถว mock 5–8 3) ตั้งค่า EXCEL_FILE_PATH ให้ชี้ไฟล์ใหม่ 4) รัน npm run verify:environment 5) เปิดเว็บที่ http://127.0.0.1:3000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</si>
</sst>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E6EDF3"/>
      <sz val="11"/>
      <name val="Carlito"/>
    </font>
    <font>
      <sz val="11"/>
      <name val="Carlito"/>
    </font>
    <font>
      <b/>
      <color rgb="FFFFFFFF"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7111F"/>
      </patternFill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/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/>
      <top/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 style="thin">
        <color rgb="FFD7E2E8"/>
      </bottom>
      <diagonal/>
    </border>
    <border>
      <left style="thin">
        <color rgb="FFD7E2E8"/>
      </left>
      <right style="thin">
        <color rgb="FFD7E2E8"/>
      </right>
      <top style="thin">
        <color rgb="FFD7E2E8"/>
      </top>
      <bottom style="thin">
        <color rgb="FFD7E2E8"/>
      </bottom>
      <diagonal/>
    </border>
    <border>
      <left style="thin">
        <color rgb="FFD7E2E8"/>
      </left>
      <right/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/>
      <top style="thin">
        <color rgb="FFD7E2E8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164" fontId="2" fillId="0" borderId="5" xfId="0" applyNumberFormat="1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164" fontId="2" fillId="0" borderId="8" xfId="0" applyNumberFormat="1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5">
    <dxf>
      <font>
        <color rgb="FF22C55E"/>
      </font>
    </dxf>
    <dxf>
      <font>
        <color rgb="FF818CF8"/>
      </font>
    </dxf>
    <dxf>
      <font>
        <color rgb="FFF43F5E"/>
      </font>
    </dxf>
    <dxf>
      <font>
        <color rgb="FFF59E0B"/>
      </font>
    </dxf>
    <dxf>
      <font>
        <color rgb="FF64748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ternshipCompanies" displayName="InternshipCompanies" ref="A4:Y8" totalsRowShown="1" headerRowCount="1">
  <autoFilter ref="A4:Y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ลำดับ"/>
    <tableColumn id="2" name="ชื่อที่รู้จัก"/>
    <tableColumn id="3" name="ธุรกิจ"/>
    <tableColumn id="4" name="สาย Tech ที่เกี่ยวข้อง"/>
    <tableColumn id="5" name="ที่ตั้ง/สถานที่ฝึกในไทย"/>
    <tableColumn id="6" name="รูปแบบทำงาน"/>
    <tableColumn id="7" name="ข้อมูลติดต่อ HR / บริษัท"/>
    <tableColumn id="8" name="ลิงก์สมัคร/อาชีพ"/>
    <tableColumn id="9" name="สถานะประกาศ"/>
    <tableColumn id="10" name="ช่วงเปิดรับ/Deadline"/>
    <tableColumn id="11" name="วันปิดรับ"/>
    <tableColumn id="12" name="ช่วงฝึกงาน/สหกิจ"/>
    <tableColumn id="13" name="ประเภทโปรแกรม"/>
    <tableColumn id="14" name="คุณสมบัติ/หมายเหตุ"/>
    <tableColumn id="15" name="แหล่งอ้างอิงหลัก"/>
    <tableColumn id="16" name="แหล่งอ้างอิงเสริม"/>
    <tableColumn id="17" name="ตรวจสอบล่าสุด"/>
    <tableColumn id="18" name="ระดับหลักฐาน"/>
    <tableColumn id="19" name="สถานะของคุณ"/>
    <tableColumn id="20" name="วันที่ติดต่อ"/>
    <tableColumn id="21" name="ติดตามครั้งถัดไป"/>
    <tableColumn id="22" name="หมายเหตุส่วนตัว"/>
    <tableColumn id="23" name="_record_id"/>
    <tableColumn id="24" name="ชื่อเต็ม"/>
    <tableColumn id="25" name="โครงการที่เปิดรับ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reersatagoda.com/department/students/" TargetMode="External"/><Relationship Id="rId2" Type="http://schemas.openxmlformats.org/officeDocument/2006/relationships/hyperlink" Target="https://careersatagoda.com/department/students/" TargetMode="External"/><Relationship Id="rId3" Type="http://schemas.openxmlformats.org/officeDocument/2006/relationships/hyperlink" Target="https://careersatagoda.com/" TargetMode="External"/><Relationship Id="rId4" Type="http://schemas.openxmlformats.org/officeDocument/2006/relationships/hyperlink" Target="https://www.ttbspark.com/spark-academy" TargetMode="External"/><Relationship Id="rId5" Type="http://schemas.openxmlformats.org/officeDocument/2006/relationships/hyperlink" Target="https://www.ttbspark.com/spark-academy" TargetMode="External"/><Relationship Id="rId6" Type="http://schemas.openxmlformats.org/officeDocument/2006/relationships/hyperlink" Target="https://www.ttbspark.com/join-us/Internship-QA" TargetMode="External"/><Relationship Id="rId7" Type="http://schemas.openxmlformats.org/officeDocument/2006/relationships/hyperlink" Target="https://www.finnomena.com/internship-positions/" TargetMode="External"/><Relationship Id="rId8" Type="http://schemas.openxmlformats.org/officeDocument/2006/relationships/hyperlink" Target="https://www.finnomena.com/internship-positions/" TargetMode="External"/><Relationship Id="rId9" Type="http://schemas.openxmlformats.org/officeDocument/2006/relationships/hyperlink" Target="https://finnomena.com" TargetMode="External"/><Relationship Id="rId10" Type="http://schemas.openxmlformats.org/officeDocument/2006/relationships/hyperlink" Target="https://www.yannix.com/internship-program/" TargetMode="External"/><Relationship Id="rId11" Type="http://schemas.openxmlformats.org/officeDocument/2006/relationships/hyperlink" Target="https://www.yannix.com/internship-program/" TargetMode="External"/><Relationship Id="rId12" Type="http://schemas.openxmlformats.org/officeDocument/2006/relationships/hyperlink" Target="https://www.yannix.com/careers" TargetMode="External"/><Relationship Id="rId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workbookViewId="0" zoomScale="100" zoomScaleNormal="10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0"/>
  <cols>
    <col min="1" max="1" width="8" customWidth="1"/>
    <col min="2" max="2" width="24" customWidth="1"/>
    <col min="3" max="3" width="26" customWidth="1"/>
    <col min="4" max="4" width="32" customWidth="1"/>
    <col min="5" max="5" width="28" customWidth="1"/>
    <col min="6" max="6" width="14" customWidth="1"/>
    <col min="7" max="7" width="30" customWidth="1"/>
    <col min="8" max="8" width="44" customWidth="1"/>
    <col min="9" max="9" width="18" customWidth="1"/>
    <col min="10" max="10" width="36" customWidth="1"/>
    <col min="11" max="11" width="13" customWidth="1"/>
    <col min="12" max="12" width="24" customWidth="1"/>
    <col min="13" max="13" width="18" customWidth="1"/>
    <col min="14" max="14" width="48" customWidth="1"/>
    <col min="15" max="16" width="42" customWidth="1"/>
    <col min="17" max="17" width="14" customWidth="1"/>
    <col min="18" max="18" width="12" customWidth="1"/>
    <col min="19" max="19" width="16" customWidth="1"/>
    <col min="20" max="21" width="14" customWidth="1"/>
    <col min="22" max="22" width="28" customWidth="1"/>
    <col min="23" max="23" width="9" hidden="1" customWidth="1"/>
    <col min="24" max="25" width="40" customWidth="1"/>
  </cols>
  <sheetData>
    <row r="1" ht="30" customHeight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4" customHeight="1" spans="1:25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</row>
    <row r="3" spans="1:25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 ht="42" customHeight="1" spans="1:25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2" t="s">
        <v>26</v>
      </c>
    </row>
    <row r="5" spans="1:25" x14ac:dyDescent="0.25">
      <c r="A5" s="13">
        <v>1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5"/>
      <c r="L5" s="14" t="s">
        <v>36</v>
      </c>
      <c r="M5" s="14" t="s">
        <v>37</v>
      </c>
      <c r="N5" s="14" t="s">
        <v>38</v>
      </c>
      <c r="O5" s="14" t="s">
        <v>33</v>
      </c>
      <c r="P5" s="14" t="s">
        <v>39</v>
      </c>
      <c r="Q5" s="15">
        <v>46269.5</v>
      </c>
      <c r="R5" s="14" t="s">
        <v>40</v>
      </c>
      <c r="S5" s="14"/>
      <c r="T5" s="15"/>
      <c r="U5" s="15"/>
      <c r="V5" s="14" t="s">
        <v>41</v>
      </c>
      <c r="W5" s="14" t="s">
        <v>42</v>
      </c>
      <c r="X5" s="14" t="s">
        <v>43</v>
      </c>
      <c r="Y5" s="16" t="s">
        <v>44</v>
      </c>
    </row>
    <row r="6" spans="1:25" x14ac:dyDescent="0.25">
      <c r="A6" s="13">
        <v>2</v>
      </c>
      <c r="B6" s="14" t="s">
        <v>45</v>
      </c>
      <c r="C6" s="14" t="s">
        <v>46</v>
      </c>
      <c r="D6" s="14" t="s">
        <v>47</v>
      </c>
      <c r="E6" s="14" t="s">
        <v>30</v>
      </c>
      <c r="F6" s="14" t="s">
        <v>31</v>
      </c>
      <c r="G6" s="14" t="s">
        <v>48</v>
      </c>
      <c r="H6" s="14" t="s">
        <v>49</v>
      </c>
      <c r="I6" s="14" t="s">
        <v>50</v>
      </c>
      <c r="J6" s="14" t="s">
        <v>51</v>
      </c>
      <c r="K6" s="15">
        <v>46295.5</v>
      </c>
      <c r="L6" s="14" t="s">
        <v>52</v>
      </c>
      <c r="M6" s="14" t="s">
        <v>53</v>
      </c>
      <c r="N6" s="14" t="s">
        <v>54</v>
      </c>
      <c r="O6" s="14" t="s">
        <v>49</v>
      </c>
      <c r="P6" s="14" t="s">
        <v>55</v>
      </c>
      <c r="Q6" s="15">
        <v>46269.5</v>
      </c>
      <c r="R6" s="14" t="s">
        <v>40</v>
      </c>
      <c r="S6" s="14"/>
      <c r="T6" s="15"/>
      <c r="U6" s="15"/>
      <c r="V6" s="14" t="s">
        <v>56</v>
      </c>
      <c r="W6" s="14" t="s">
        <v>57</v>
      </c>
      <c r="X6" s="14" t="s">
        <v>58</v>
      </c>
      <c r="Y6" s="16" t="s">
        <v>59</v>
      </c>
    </row>
    <row r="7" spans="1:25" x14ac:dyDescent="0.25">
      <c r="A7" s="13">
        <v>3</v>
      </c>
      <c r="B7" s="14" t="s">
        <v>60</v>
      </c>
      <c r="C7" s="14" t="s">
        <v>61</v>
      </c>
      <c r="D7" s="14" t="s">
        <v>62</v>
      </c>
      <c r="E7" s="14" t="s">
        <v>30</v>
      </c>
      <c r="F7" s="14" t="s">
        <v>31</v>
      </c>
      <c r="G7" s="14" t="s">
        <v>63</v>
      </c>
      <c r="H7" s="14" t="s">
        <v>64</v>
      </c>
      <c r="I7" s="14" t="s">
        <v>50</v>
      </c>
      <c r="J7" s="14" t="s">
        <v>65</v>
      </c>
      <c r="K7" s="15"/>
      <c r="L7" s="14" t="s">
        <v>66</v>
      </c>
      <c r="M7" s="14" t="s">
        <v>53</v>
      </c>
      <c r="N7" s="14" t="s">
        <v>67</v>
      </c>
      <c r="O7" s="14" t="s">
        <v>64</v>
      </c>
      <c r="P7" s="14" t="s">
        <v>68</v>
      </c>
      <c r="Q7" s="15">
        <v>46269.5</v>
      </c>
      <c r="R7" s="14" t="s">
        <v>40</v>
      </c>
      <c r="S7" s="14"/>
      <c r="T7" s="15"/>
      <c r="U7" s="15"/>
      <c r="V7" s="14" t="s">
        <v>56</v>
      </c>
      <c r="W7" s="14" t="s">
        <v>69</v>
      </c>
      <c r="X7" s="14" t="s">
        <v>70</v>
      </c>
      <c r="Y7" s="16" t="s">
        <v>71</v>
      </c>
    </row>
    <row r="8" spans="1:25" x14ac:dyDescent="0.25">
      <c r="A8" s="13">
        <v>4</v>
      </c>
      <c r="B8" s="14" t="s">
        <v>72</v>
      </c>
      <c r="C8" s="14" t="s">
        <v>73</v>
      </c>
      <c r="D8" s="14" t="s">
        <v>74</v>
      </c>
      <c r="E8" s="14" t="s">
        <v>30</v>
      </c>
      <c r="F8" s="14" t="s">
        <v>75</v>
      </c>
      <c r="G8" s="14" t="s">
        <v>76</v>
      </c>
      <c r="H8" s="14" t="s">
        <v>77</v>
      </c>
      <c r="I8" s="14" t="s">
        <v>34</v>
      </c>
      <c r="J8" s="14" t="s">
        <v>78</v>
      </c>
      <c r="K8" s="15"/>
      <c r="L8" s="14" t="s">
        <v>79</v>
      </c>
      <c r="M8" s="14" t="s">
        <v>53</v>
      </c>
      <c r="N8" s="14" t="s">
        <v>80</v>
      </c>
      <c r="O8" s="14" t="s">
        <v>77</v>
      </c>
      <c r="P8" s="14" t="s">
        <v>81</v>
      </c>
      <c r="Q8" s="15">
        <v>46269.5</v>
      </c>
      <c r="R8" s="14" t="s">
        <v>40</v>
      </c>
      <c r="S8" s="14"/>
      <c r="T8" s="15"/>
      <c r="U8" s="15"/>
      <c r="V8" s="14" t="s">
        <v>56</v>
      </c>
      <c r="W8" s="14" t="s">
        <v>82</v>
      </c>
      <c r="X8" s="14" t="s">
        <v>83</v>
      </c>
      <c r="Y8" s="16" t="s">
        <v>84</v>
      </c>
    </row>
    <row r="9" spans="1:25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14"/>
      <c r="M9" s="14"/>
      <c r="N9" s="14"/>
      <c r="O9" s="14"/>
      <c r="P9" s="14"/>
      <c r="Q9" s="15"/>
      <c r="R9" s="14"/>
      <c r="S9" s="14"/>
      <c r="T9" s="15"/>
      <c r="U9" s="15"/>
      <c r="V9" s="14"/>
      <c r="W9" s="14"/>
      <c r="X9" s="14"/>
      <c r="Y9" s="16"/>
    </row>
    <row r="10" spans="1:25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4"/>
      <c r="M10" s="14"/>
      <c r="N10" s="14"/>
      <c r="O10" s="14"/>
      <c r="P10" s="14"/>
      <c r="Q10" s="15"/>
      <c r="R10" s="14"/>
      <c r="S10" s="14"/>
      <c r="T10" s="15"/>
      <c r="U10" s="15"/>
      <c r="V10" s="14"/>
      <c r="W10" s="14"/>
      <c r="X10" s="14"/>
      <c r="Y10" s="16"/>
    </row>
    <row r="11" spans="1:25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4"/>
      <c r="M11" s="14"/>
      <c r="N11" s="14"/>
      <c r="O11" s="14"/>
      <c r="P11" s="14"/>
      <c r="Q11" s="15"/>
      <c r="R11" s="14"/>
      <c r="S11" s="14"/>
      <c r="T11" s="15"/>
      <c r="U11" s="15"/>
      <c r="V11" s="14"/>
      <c r="W11" s="14"/>
      <c r="X11" s="14"/>
      <c r="Y11" s="16"/>
    </row>
    <row r="12" spans="1:25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4"/>
      <c r="M12" s="14"/>
      <c r="N12" s="14"/>
      <c r="O12" s="14"/>
      <c r="P12" s="14"/>
      <c r="Q12" s="15"/>
      <c r="R12" s="14"/>
      <c r="S12" s="14"/>
      <c r="T12" s="15"/>
      <c r="U12" s="15"/>
      <c r="V12" s="14"/>
      <c r="W12" s="14"/>
      <c r="X12" s="14"/>
      <c r="Y12" s="16"/>
    </row>
    <row r="13" spans="1:25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4"/>
      <c r="M13" s="14"/>
      <c r="N13" s="14"/>
      <c r="O13" s="14"/>
      <c r="P13" s="14"/>
      <c r="Q13" s="15"/>
      <c r="R13" s="14"/>
      <c r="S13" s="14"/>
      <c r="T13" s="15"/>
      <c r="U13" s="15"/>
      <c r="V13" s="14"/>
      <c r="W13" s="14"/>
      <c r="X13" s="14"/>
      <c r="Y13" s="16"/>
    </row>
    <row r="14" spans="1:25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5"/>
      <c r="R14" s="14"/>
      <c r="S14" s="14"/>
      <c r="T14" s="15"/>
      <c r="U14" s="15"/>
      <c r="V14" s="14"/>
      <c r="W14" s="14"/>
      <c r="X14" s="14"/>
      <c r="Y14" s="16"/>
    </row>
    <row r="15" spans="1:25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14"/>
      <c r="M15" s="14"/>
      <c r="N15" s="14"/>
      <c r="O15" s="14"/>
      <c r="P15" s="14"/>
      <c r="Q15" s="15"/>
      <c r="R15" s="14"/>
      <c r="S15" s="14"/>
      <c r="T15" s="15"/>
      <c r="U15" s="15"/>
      <c r="V15" s="14"/>
      <c r="W15" s="14"/>
      <c r="X15" s="14"/>
      <c r="Y15" s="16"/>
    </row>
    <row r="16" spans="1:25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4"/>
      <c r="M16" s="14"/>
      <c r="N16" s="14"/>
      <c r="O16" s="14"/>
      <c r="P16" s="14"/>
      <c r="Q16" s="15"/>
      <c r="R16" s="14"/>
      <c r="S16" s="14"/>
      <c r="T16" s="15"/>
      <c r="U16" s="15"/>
      <c r="V16" s="14"/>
      <c r="W16" s="14"/>
      <c r="X16" s="14"/>
      <c r="Y16" s="16"/>
    </row>
    <row r="17" spans="1:25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4"/>
      <c r="M17" s="14"/>
      <c r="N17" s="14"/>
      <c r="O17" s="14"/>
      <c r="P17" s="14"/>
      <c r="Q17" s="15"/>
      <c r="R17" s="14"/>
      <c r="S17" s="14"/>
      <c r="T17" s="15"/>
      <c r="U17" s="15"/>
      <c r="V17" s="14"/>
      <c r="W17" s="14"/>
      <c r="X17" s="14"/>
      <c r="Y17" s="16"/>
    </row>
    <row r="18" spans="1:25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4"/>
      <c r="M18" s="14"/>
      <c r="N18" s="14"/>
      <c r="O18" s="14"/>
      <c r="P18" s="14"/>
      <c r="Q18" s="15"/>
      <c r="R18" s="14"/>
      <c r="S18" s="14"/>
      <c r="T18" s="15"/>
      <c r="U18" s="15"/>
      <c r="V18" s="14"/>
      <c r="W18" s="14"/>
      <c r="X18" s="14"/>
      <c r="Y18" s="16"/>
    </row>
    <row r="19" spans="1:25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14"/>
      <c r="M19" s="14"/>
      <c r="N19" s="14"/>
      <c r="O19" s="14"/>
      <c r="P19" s="14"/>
      <c r="Q19" s="15"/>
      <c r="R19" s="14"/>
      <c r="S19" s="14"/>
      <c r="T19" s="15"/>
      <c r="U19" s="15"/>
      <c r="V19" s="14"/>
      <c r="W19" s="14"/>
      <c r="X19" s="14"/>
      <c r="Y19" s="16"/>
    </row>
    <row r="20" spans="1:25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14"/>
      <c r="M20" s="14"/>
      <c r="N20" s="14"/>
      <c r="O20" s="14"/>
      <c r="P20" s="14"/>
      <c r="Q20" s="15"/>
      <c r="R20" s="14"/>
      <c r="S20" s="14"/>
      <c r="T20" s="15"/>
      <c r="U20" s="15"/>
      <c r="V20" s="14"/>
      <c r="W20" s="14"/>
      <c r="X20" s="14"/>
      <c r="Y20" s="16"/>
    </row>
    <row r="21" spans="1:25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14"/>
      <c r="M21" s="14"/>
      <c r="N21" s="14"/>
      <c r="O21" s="14"/>
      <c r="P21" s="14"/>
      <c r="Q21" s="15"/>
      <c r="R21" s="14"/>
      <c r="S21" s="14"/>
      <c r="T21" s="15"/>
      <c r="U21" s="15"/>
      <c r="V21" s="14"/>
      <c r="W21" s="14"/>
      <c r="X21" s="14"/>
      <c r="Y21" s="16"/>
    </row>
    <row r="22" spans="1:25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4"/>
      <c r="M22" s="14"/>
      <c r="N22" s="14"/>
      <c r="O22" s="14"/>
      <c r="P22" s="14"/>
      <c r="Q22" s="15"/>
      <c r="R22" s="14"/>
      <c r="S22" s="14"/>
      <c r="T22" s="15"/>
      <c r="U22" s="15"/>
      <c r="V22" s="14"/>
      <c r="W22" s="14"/>
      <c r="X22" s="14"/>
      <c r="Y22" s="16"/>
    </row>
    <row r="23" spans="1:25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4"/>
      <c r="M23" s="14"/>
      <c r="N23" s="14"/>
      <c r="O23" s="14"/>
      <c r="P23" s="14"/>
      <c r="Q23" s="15"/>
      <c r="R23" s="14"/>
      <c r="S23" s="14"/>
      <c r="T23" s="15"/>
      <c r="U23" s="15"/>
      <c r="V23" s="14"/>
      <c r="W23" s="14"/>
      <c r="X23" s="14"/>
      <c r="Y23" s="16"/>
    </row>
    <row r="24" spans="1:25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4"/>
      <c r="M24" s="14"/>
      <c r="N24" s="14"/>
      <c r="O24" s="14"/>
      <c r="P24" s="14"/>
      <c r="Q24" s="15"/>
      <c r="R24" s="14"/>
      <c r="S24" s="14"/>
      <c r="T24" s="15"/>
      <c r="U24" s="15"/>
      <c r="V24" s="14"/>
      <c r="W24" s="14"/>
      <c r="X24" s="14"/>
      <c r="Y24" s="16"/>
    </row>
    <row r="25" spans="1:25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14"/>
      <c r="M25" s="14"/>
      <c r="N25" s="14"/>
      <c r="O25" s="14"/>
      <c r="P25" s="14"/>
      <c r="Q25" s="15"/>
      <c r="R25" s="14"/>
      <c r="S25" s="14"/>
      <c r="T25" s="15"/>
      <c r="U25" s="15"/>
      <c r="V25" s="14"/>
      <c r="W25" s="14"/>
      <c r="X25" s="14"/>
      <c r="Y25" s="16"/>
    </row>
    <row r="26" spans="1:25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  <c r="M26" s="14"/>
      <c r="N26" s="14"/>
      <c r="O26" s="14"/>
      <c r="P26" s="14"/>
      <c r="Q26" s="15"/>
      <c r="R26" s="14"/>
      <c r="S26" s="14"/>
      <c r="T26" s="15"/>
      <c r="U26" s="15"/>
      <c r="V26" s="14"/>
      <c r="W26" s="14"/>
      <c r="X26" s="14"/>
      <c r="Y26" s="16"/>
    </row>
    <row r="27" spans="1:25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  <c r="M27" s="14"/>
      <c r="N27" s="14"/>
      <c r="O27" s="14"/>
      <c r="P27" s="14"/>
      <c r="Q27" s="15"/>
      <c r="R27" s="14"/>
      <c r="S27" s="14"/>
      <c r="T27" s="15"/>
      <c r="U27" s="15"/>
      <c r="V27" s="14"/>
      <c r="W27" s="14"/>
      <c r="X27" s="14"/>
      <c r="Y27" s="16"/>
    </row>
    <row r="28" spans="1:25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  <c r="M28" s="14"/>
      <c r="N28" s="14"/>
      <c r="O28" s="14"/>
      <c r="P28" s="14"/>
      <c r="Q28" s="15"/>
      <c r="R28" s="14"/>
      <c r="S28" s="14"/>
      <c r="T28" s="15"/>
      <c r="U28" s="15"/>
      <c r="V28" s="14"/>
      <c r="W28" s="14"/>
      <c r="X28" s="14"/>
      <c r="Y28" s="16"/>
    </row>
    <row r="29" spans="1:25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  <c r="M29" s="14"/>
      <c r="N29" s="14"/>
      <c r="O29" s="14"/>
      <c r="P29" s="14"/>
      <c r="Q29" s="15"/>
      <c r="R29" s="14"/>
      <c r="S29" s="14"/>
      <c r="T29" s="15"/>
      <c r="U29" s="15"/>
      <c r="V29" s="14"/>
      <c r="W29" s="14"/>
      <c r="X29" s="14"/>
      <c r="Y29" s="16"/>
    </row>
    <row r="30" spans="1:25" x14ac:dyDescent="0.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  <c r="M30" s="14"/>
      <c r="N30" s="14"/>
      <c r="O30" s="14"/>
      <c r="P30" s="14"/>
      <c r="Q30" s="15"/>
      <c r="R30" s="14"/>
      <c r="S30" s="14"/>
      <c r="T30" s="15"/>
      <c r="U30" s="15"/>
      <c r="V30" s="14"/>
      <c r="W30" s="14"/>
      <c r="X30" s="14"/>
      <c r="Y30" s="16"/>
    </row>
    <row r="31" spans="1:25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  <c r="M31" s="14"/>
      <c r="N31" s="14"/>
      <c r="O31" s="14"/>
      <c r="P31" s="14"/>
      <c r="Q31" s="15"/>
      <c r="R31" s="14"/>
      <c r="S31" s="14"/>
      <c r="T31" s="15"/>
      <c r="U31" s="15"/>
      <c r="V31" s="14"/>
      <c r="W31" s="14"/>
      <c r="X31" s="14"/>
      <c r="Y31" s="16"/>
    </row>
    <row r="32" spans="1:25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4"/>
      <c r="M32" s="14"/>
      <c r="N32" s="14"/>
      <c r="O32" s="14"/>
      <c r="P32" s="14"/>
      <c r="Q32" s="15"/>
      <c r="R32" s="14"/>
      <c r="S32" s="14"/>
      <c r="T32" s="15"/>
      <c r="U32" s="15"/>
      <c r="V32" s="14"/>
      <c r="W32" s="14"/>
      <c r="X32" s="14"/>
      <c r="Y32" s="16"/>
    </row>
    <row r="33" spans="1:25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5"/>
      <c r="L33" s="14"/>
      <c r="M33" s="14"/>
      <c r="N33" s="14"/>
      <c r="O33" s="14"/>
      <c r="P33" s="14"/>
      <c r="Q33" s="15"/>
      <c r="R33" s="14"/>
      <c r="S33" s="14"/>
      <c r="T33" s="15"/>
      <c r="U33" s="15"/>
      <c r="V33" s="14"/>
      <c r="W33" s="14"/>
      <c r="X33" s="14"/>
      <c r="Y33" s="16"/>
    </row>
    <row r="34" spans="1:25" x14ac:dyDescent="0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5"/>
      <c r="L34" s="14"/>
      <c r="M34" s="14"/>
      <c r="N34" s="14"/>
      <c r="O34" s="14"/>
      <c r="P34" s="14"/>
      <c r="Q34" s="15"/>
      <c r="R34" s="14"/>
      <c r="S34" s="14"/>
      <c r="T34" s="15"/>
      <c r="U34" s="15"/>
      <c r="V34" s="14"/>
      <c r="W34" s="14"/>
      <c r="X34" s="14"/>
      <c r="Y34" s="16"/>
    </row>
    <row r="35" spans="1:25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14"/>
      <c r="M35" s="14"/>
      <c r="N35" s="14"/>
      <c r="O35" s="14"/>
      <c r="P35" s="14"/>
      <c r="Q35" s="15"/>
      <c r="R35" s="14"/>
      <c r="S35" s="14"/>
      <c r="T35" s="15"/>
      <c r="U35" s="15"/>
      <c r="V35" s="14"/>
      <c r="W35" s="14"/>
      <c r="X35" s="14"/>
      <c r="Y35" s="16"/>
    </row>
    <row r="36" spans="1:25" x14ac:dyDescent="0.2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14"/>
      <c r="M36" s="14"/>
      <c r="N36" s="14"/>
      <c r="O36" s="14"/>
      <c r="P36" s="14"/>
      <c r="Q36" s="15"/>
      <c r="R36" s="14"/>
      <c r="S36" s="14"/>
      <c r="T36" s="15"/>
      <c r="U36" s="15"/>
      <c r="V36" s="14"/>
      <c r="W36" s="14"/>
      <c r="X36" s="14"/>
      <c r="Y36" s="16"/>
    </row>
    <row r="37" spans="1:25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14"/>
      <c r="M37" s="14"/>
      <c r="N37" s="14"/>
      <c r="O37" s="14"/>
      <c r="P37" s="14"/>
      <c r="Q37" s="15"/>
      <c r="R37" s="14"/>
      <c r="S37" s="14"/>
      <c r="T37" s="15"/>
      <c r="U37" s="15"/>
      <c r="V37" s="14"/>
      <c r="W37" s="14"/>
      <c r="X37" s="14"/>
      <c r="Y37" s="16"/>
    </row>
    <row r="38" spans="1:25" x14ac:dyDescent="0.2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5"/>
      <c r="L38" s="14"/>
      <c r="M38" s="14"/>
      <c r="N38" s="14"/>
      <c r="O38" s="14"/>
      <c r="P38" s="14"/>
      <c r="Q38" s="15"/>
      <c r="R38" s="14"/>
      <c r="S38" s="14"/>
      <c r="T38" s="15"/>
      <c r="U38" s="15"/>
      <c r="V38" s="14"/>
      <c r="W38" s="14"/>
      <c r="X38" s="14"/>
      <c r="Y38" s="16"/>
    </row>
    <row r="39" spans="1:25" x14ac:dyDescent="0.2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5"/>
      <c r="L39" s="14"/>
      <c r="M39" s="14"/>
      <c r="N39" s="14"/>
      <c r="O39" s="14"/>
      <c r="P39" s="14"/>
      <c r="Q39" s="15"/>
      <c r="R39" s="14"/>
      <c r="S39" s="14"/>
      <c r="T39" s="15"/>
      <c r="U39" s="15"/>
      <c r="V39" s="14"/>
      <c r="W39" s="14"/>
      <c r="X39" s="14"/>
      <c r="Y39" s="16"/>
    </row>
    <row r="40" spans="1:25" x14ac:dyDescent="0.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5"/>
      <c r="L40" s="14"/>
      <c r="M40" s="14"/>
      <c r="N40" s="14"/>
      <c r="O40" s="14"/>
      <c r="P40" s="14"/>
      <c r="Q40" s="15"/>
      <c r="R40" s="14"/>
      <c r="S40" s="14"/>
      <c r="T40" s="15"/>
      <c r="U40" s="15"/>
      <c r="V40" s="14"/>
      <c r="W40" s="14"/>
      <c r="X40" s="14"/>
      <c r="Y40" s="16"/>
    </row>
    <row r="41" spans="1:25" x14ac:dyDescent="0.2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5"/>
      <c r="L41" s="14"/>
      <c r="M41" s="14"/>
      <c r="N41" s="14"/>
      <c r="O41" s="14"/>
      <c r="P41" s="14"/>
      <c r="Q41" s="15"/>
      <c r="R41" s="14"/>
      <c r="S41" s="14"/>
      <c r="T41" s="15"/>
      <c r="U41" s="15"/>
      <c r="V41" s="14"/>
      <c r="W41" s="14"/>
      <c r="X41" s="14"/>
      <c r="Y41" s="16"/>
    </row>
    <row r="42" spans="1:25" x14ac:dyDescent="0.2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4"/>
      <c r="M42" s="14"/>
      <c r="N42" s="14"/>
      <c r="O42" s="14"/>
      <c r="P42" s="14"/>
      <c r="Q42" s="15"/>
      <c r="R42" s="14"/>
      <c r="S42" s="14"/>
      <c r="T42" s="15"/>
      <c r="U42" s="15"/>
      <c r="V42" s="14"/>
      <c r="W42" s="14"/>
      <c r="X42" s="14"/>
      <c r="Y42" s="16"/>
    </row>
    <row r="43" spans="1:25" x14ac:dyDescent="0.2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4"/>
      <c r="M43" s="14"/>
      <c r="N43" s="14"/>
      <c r="O43" s="14"/>
      <c r="P43" s="14"/>
      <c r="Q43" s="15"/>
      <c r="R43" s="14"/>
      <c r="S43" s="14"/>
      <c r="T43" s="15"/>
      <c r="U43" s="15"/>
      <c r="V43" s="14"/>
      <c r="W43" s="14"/>
      <c r="X43" s="14"/>
      <c r="Y43" s="16"/>
    </row>
    <row r="44" spans="1:25" x14ac:dyDescent="0.2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4"/>
      <c r="M44" s="14"/>
      <c r="N44" s="14"/>
      <c r="O44" s="14"/>
      <c r="P44" s="14"/>
      <c r="Q44" s="15"/>
      <c r="R44" s="14"/>
      <c r="S44" s="14"/>
      <c r="T44" s="15"/>
      <c r="U44" s="15"/>
      <c r="V44" s="14"/>
      <c r="W44" s="14"/>
      <c r="X44" s="14"/>
      <c r="Y44" s="16"/>
    </row>
    <row r="45" spans="1:25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5"/>
      <c r="L45" s="14"/>
      <c r="M45" s="14"/>
      <c r="N45" s="14"/>
      <c r="O45" s="14"/>
      <c r="P45" s="14"/>
      <c r="Q45" s="15"/>
      <c r="R45" s="14"/>
      <c r="S45" s="14"/>
      <c r="T45" s="15"/>
      <c r="U45" s="15"/>
      <c r="V45" s="14"/>
      <c r="W45" s="14"/>
      <c r="X45" s="14"/>
      <c r="Y45" s="16"/>
    </row>
    <row r="46" spans="1:25" x14ac:dyDescent="0.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5"/>
      <c r="L46" s="14"/>
      <c r="M46" s="14"/>
      <c r="N46" s="14"/>
      <c r="O46" s="14"/>
      <c r="P46" s="14"/>
      <c r="Q46" s="15"/>
      <c r="R46" s="14"/>
      <c r="S46" s="14"/>
      <c r="T46" s="15"/>
      <c r="U46" s="15"/>
      <c r="V46" s="14"/>
      <c r="W46" s="14"/>
      <c r="X46" s="14"/>
      <c r="Y46" s="16"/>
    </row>
    <row r="47" spans="1:25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14"/>
      <c r="M47" s="14"/>
      <c r="N47" s="14"/>
      <c r="O47" s="14"/>
      <c r="P47" s="14"/>
      <c r="Q47" s="15"/>
      <c r="R47" s="14"/>
      <c r="S47" s="14"/>
      <c r="T47" s="15"/>
      <c r="U47" s="15"/>
      <c r="V47" s="14"/>
      <c r="W47" s="14"/>
      <c r="X47" s="14"/>
      <c r="Y47" s="16"/>
    </row>
    <row r="48" spans="1:25" x14ac:dyDescent="0.25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14"/>
      <c r="M48" s="14"/>
      <c r="N48" s="14"/>
      <c r="O48" s="14"/>
      <c r="P48" s="14"/>
      <c r="Q48" s="15"/>
      <c r="R48" s="14"/>
      <c r="S48" s="14"/>
      <c r="T48" s="15"/>
      <c r="U48" s="15"/>
      <c r="V48" s="14"/>
      <c r="W48" s="14"/>
      <c r="X48" s="14"/>
      <c r="Y48" s="16"/>
    </row>
    <row r="49" spans="1:25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14"/>
      <c r="M49" s="14"/>
      <c r="N49" s="14"/>
      <c r="O49" s="14"/>
      <c r="P49" s="14"/>
      <c r="Q49" s="15"/>
      <c r="R49" s="14"/>
      <c r="S49" s="14"/>
      <c r="T49" s="15"/>
      <c r="U49" s="15"/>
      <c r="V49" s="14"/>
      <c r="W49" s="14"/>
      <c r="X49" s="14"/>
      <c r="Y49" s="16"/>
    </row>
    <row r="50" spans="1:25" x14ac:dyDescent="0.25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14"/>
      <c r="M50" s="14"/>
      <c r="N50" s="14"/>
      <c r="O50" s="14"/>
      <c r="P50" s="14"/>
      <c r="Q50" s="15"/>
      <c r="R50" s="14"/>
      <c r="S50" s="14"/>
      <c r="T50" s="15"/>
      <c r="U50" s="15"/>
      <c r="V50" s="14"/>
      <c r="W50" s="14"/>
      <c r="X50" s="14"/>
      <c r="Y50" s="16"/>
    </row>
    <row r="51" spans="1:25" x14ac:dyDescent="0.25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4"/>
      <c r="M51" s="14"/>
      <c r="N51" s="14"/>
      <c r="O51" s="14"/>
      <c r="P51" s="14"/>
      <c r="Q51" s="15"/>
      <c r="R51" s="14"/>
      <c r="S51" s="14"/>
      <c r="T51" s="15"/>
      <c r="U51" s="15"/>
      <c r="V51" s="14"/>
      <c r="W51" s="14"/>
      <c r="X51" s="14"/>
      <c r="Y51" s="16"/>
    </row>
    <row r="52" spans="1:25" x14ac:dyDescent="0.25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4"/>
      <c r="M52" s="14"/>
      <c r="N52" s="14"/>
      <c r="O52" s="14"/>
      <c r="P52" s="14"/>
      <c r="Q52" s="15"/>
      <c r="R52" s="14"/>
      <c r="S52" s="14"/>
      <c r="T52" s="15"/>
      <c r="U52" s="15"/>
      <c r="V52" s="14"/>
      <c r="W52" s="14"/>
      <c r="X52" s="14"/>
      <c r="Y52" s="16"/>
    </row>
    <row r="53" spans="1:25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14"/>
      <c r="M53" s="14"/>
      <c r="N53" s="14"/>
      <c r="O53" s="14"/>
      <c r="P53" s="14"/>
      <c r="Q53" s="15"/>
      <c r="R53" s="14"/>
      <c r="S53" s="14"/>
      <c r="T53" s="15"/>
      <c r="U53" s="15"/>
      <c r="V53" s="14"/>
      <c r="W53" s="14"/>
      <c r="X53" s="14"/>
      <c r="Y53" s="16"/>
    </row>
    <row r="54" spans="1:25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5"/>
      <c r="L54" s="14"/>
      <c r="M54" s="14"/>
      <c r="N54" s="14"/>
      <c r="O54" s="14"/>
      <c r="P54" s="14"/>
      <c r="Q54" s="15"/>
      <c r="R54" s="14"/>
      <c r="S54" s="14"/>
      <c r="T54" s="15"/>
      <c r="U54" s="15"/>
      <c r="V54" s="14"/>
      <c r="W54" s="14"/>
      <c r="X54" s="14"/>
      <c r="Y54" s="16"/>
    </row>
    <row r="55" spans="1:25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14"/>
      <c r="M55" s="14"/>
      <c r="N55" s="14"/>
      <c r="O55" s="14"/>
      <c r="P55" s="14"/>
      <c r="Q55" s="15"/>
      <c r="R55" s="14"/>
      <c r="S55" s="14"/>
      <c r="T55" s="15"/>
      <c r="U55" s="15"/>
      <c r="V55" s="14"/>
      <c r="W55" s="14"/>
      <c r="X55" s="14"/>
      <c r="Y55" s="16"/>
    </row>
    <row r="56" spans="1:25" x14ac:dyDescent="0.25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14"/>
      <c r="M56" s="14"/>
      <c r="N56" s="14"/>
      <c r="O56" s="14"/>
      <c r="P56" s="14"/>
      <c r="Q56" s="15"/>
      <c r="R56" s="14"/>
      <c r="S56" s="14"/>
      <c r="T56" s="15"/>
      <c r="U56" s="15"/>
      <c r="V56" s="14"/>
      <c r="W56" s="14"/>
      <c r="X56" s="14"/>
      <c r="Y56" s="16"/>
    </row>
    <row r="57" spans="1:25" x14ac:dyDescent="0.25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14"/>
      <c r="M57" s="14"/>
      <c r="N57" s="14"/>
      <c r="O57" s="14"/>
      <c r="P57" s="14"/>
      <c r="Q57" s="15"/>
      <c r="R57" s="14"/>
      <c r="S57" s="14"/>
      <c r="T57" s="15"/>
      <c r="U57" s="15"/>
      <c r="V57" s="14"/>
      <c r="W57" s="14"/>
      <c r="X57" s="14"/>
      <c r="Y57" s="16"/>
    </row>
    <row r="58" spans="1:25" x14ac:dyDescent="0.25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14"/>
      <c r="M58" s="14"/>
      <c r="N58" s="14"/>
      <c r="O58" s="14"/>
      <c r="P58" s="14"/>
      <c r="Q58" s="15"/>
      <c r="R58" s="14"/>
      <c r="S58" s="14"/>
      <c r="T58" s="15"/>
      <c r="U58" s="15"/>
      <c r="V58" s="14"/>
      <c r="W58" s="14"/>
      <c r="X58" s="14"/>
      <c r="Y58" s="16"/>
    </row>
    <row r="59" spans="1:25" x14ac:dyDescent="0.25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14"/>
      <c r="M59" s="14"/>
      <c r="N59" s="14"/>
      <c r="O59" s="14"/>
      <c r="P59" s="14"/>
      <c r="Q59" s="15"/>
      <c r="R59" s="14"/>
      <c r="S59" s="14"/>
      <c r="T59" s="15"/>
      <c r="U59" s="15"/>
      <c r="V59" s="14"/>
      <c r="W59" s="14"/>
      <c r="X59" s="14"/>
      <c r="Y59" s="16"/>
    </row>
    <row r="60" spans="1:25" x14ac:dyDescent="0.25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14"/>
      <c r="M60" s="14"/>
      <c r="N60" s="14"/>
      <c r="O60" s="14"/>
      <c r="P60" s="14"/>
      <c r="Q60" s="15"/>
      <c r="R60" s="14"/>
      <c r="S60" s="14"/>
      <c r="T60" s="15"/>
      <c r="U60" s="15"/>
      <c r="V60" s="14"/>
      <c r="W60" s="14"/>
      <c r="X60" s="14"/>
      <c r="Y60" s="16"/>
    </row>
    <row r="61" spans="1:25" x14ac:dyDescent="0.25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14"/>
      <c r="M61" s="14"/>
      <c r="N61" s="14"/>
      <c r="O61" s="14"/>
      <c r="P61" s="14"/>
      <c r="Q61" s="15"/>
      <c r="R61" s="14"/>
      <c r="S61" s="14"/>
      <c r="T61" s="15"/>
      <c r="U61" s="15"/>
      <c r="V61" s="14"/>
      <c r="W61" s="14"/>
      <c r="X61" s="14"/>
      <c r="Y61" s="16"/>
    </row>
    <row r="62" spans="1:25" x14ac:dyDescent="0.25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5"/>
      <c r="L62" s="14"/>
      <c r="M62" s="14"/>
      <c r="N62" s="14"/>
      <c r="O62" s="14"/>
      <c r="P62" s="14"/>
      <c r="Q62" s="15"/>
      <c r="R62" s="14"/>
      <c r="S62" s="14"/>
      <c r="T62" s="15"/>
      <c r="U62" s="15"/>
      <c r="V62" s="14"/>
      <c r="W62" s="14"/>
      <c r="X62" s="14"/>
      <c r="Y62" s="16"/>
    </row>
    <row r="63" spans="1:25" x14ac:dyDescent="0.25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5"/>
      <c r="L63" s="14"/>
      <c r="M63" s="14"/>
      <c r="N63" s="14"/>
      <c r="O63" s="14"/>
      <c r="P63" s="14"/>
      <c r="Q63" s="15"/>
      <c r="R63" s="14"/>
      <c r="S63" s="14"/>
      <c r="T63" s="15"/>
      <c r="U63" s="15"/>
      <c r="V63" s="14"/>
      <c r="W63" s="14"/>
      <c r="X63" s="14"/>
      <c r="Y63" s="16"/>
    </row>
    <row r="64" spans="1:25" x14ac:dyDescent="0.25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14"/>
      <c r="M64" s="14"/>
      <c r="N64" s="14"/>
      <c r="O64" s="14"/>
      <c r="P64" s="14"/>
      <c r="Q64" s="15"/>
      <c r="R64" s="14"/>
      <c r="S64" s="14"/>
      <c r="T64" s="15"/>
      <c r="U64" s="15"/>
      <c r="V64" s="14"/>
      <c r="W64" s="14"/>
      <c r="X64" s="14"/>
      <c r="Y64" s="16"/>
    </row>
    <row r="65" spans="1:25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14"/>
      <c r="M65" s="14"/>
      <c r="N65" s="14"/>
      <c r="O65" s="14"/>
      <c r="P65" s="14"/>
      <c r="Q65" s="15"/>
      <c r="R65" s="14"/>
      <c r="S65" s="14"/>
      <c r="T65" s="15"/>
      <c r="U65" s="15"/>
      <c r="V65" s="14"/>
      <c r="W65" s="14"/>
      <c r="X65" s="14"/>
      <c r="Y65" s="16"/>
    </row>
    <row r="66" spans="1:25" x14ac:dyDescent="0.25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4"/>
      <c r="M66" s="14"/>
      <c r="N66" s="14"/>
      <c r="O66" s="14"/>
      <c r="P66" s="14"/>
      <c r="Q66" s="15"/>
      <c r="R66" s="14"/>
      <c r="S66" s="14"/>
      <c r="T66" s="15"/>
      <c r="U66" s="15"/>
      <c r="V66" s="14"/>
      <c r="W66" s="14"/>
      <c r="X66" s="14"/>
      <c r="Y66" s="16"/>
    </row>
    <row r="67" spans="1:25" x14ac:dyDescent="0.25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4"/>
      <c r="M67" s="14"/>
      <c r="N67" s="14"/>
      <c r="O67" s="14"/>
      <c r="P67" s="14"/>
      <c r="Q67" s="15"/>
      <c r="R67" s="14"/>
      <c r="S67" s="14"/>
      <c r="T67" s="15"/>
      <c r="U67" s="15"/>
      <c r="V67" s="14"/>
      <c r="W67" s="14"/>
      <c r="X67" s="14"/>
      <c r="Y67" s="16"/>
    </row>
    <row r="68" spans="1:25" x14ac:dyDescent="0.25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4"/>
      <c r="M68" s="14"/>
      <c r="N68" s="14"/>
      <c r="O68" s="14"/>
      <c r="P68" s="14"/>
      <c r="Q68" s="15"/>
      <c r="R68" s="14"/>
      <c r="S68" s="14"/>
      <c r="T68" s="15"/>
      <c r="U68" s="15"/>
      <c r="V68" s="14"/>
      <c r="W68" s="14"/>
      <c r="X68" s="14"/>
      <c r="Y68" s="16"/>
    </row>
    <row r="69" spans="1:25" x14ac:dyDescent="0.25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14"/>
      <c r="M69" s="14"/>
      <c r="N69" s="14"/>
      <c r="O69" s="14"/>
      <c r="P69" s="14"/>
      <c r="Q69" s="15"/>
      <c r="R69" s="14"/>
      <c r="S69" s="14"/>
      <c r="T69" s="15"/>
      <c r="U69" s="15"/>
      <c r="V69" s="14"/>
      <c r="W69" s="14"/>
      <c r="X69" s="14"/>
      <c r="Y69" s="16"/>
    </row>
    <row r="70" spans="1:25" x14ac:dyDescent="0.25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5"/>
      <c r="L70" s="14"/>
      <c r="M70" s="14"/>
      <c r="N70" s="14"/>
      <c r="O70" s="14"/>
      <c r="P70" s="14"/>
      <c r="Q70" s="15"/>
      <c r="R70" s="14"/>
      <c r="S70" s="14"/>
      <c r="T70" s="15"/>
      <c r="U70" s="15"/>
      <c r="V70" s="14"/>
      <c r="W70" s="14"/>
      <c r="X70" s="14"/>
      <c r="Y70" s="16"/>
    </row>
    <row r="71" spans="1:25" x14ac:dyDescent="0.25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5"/>
      <c r="L71" s="14"/>
      <c r="M71" s="14"/>
      <c r="N71" s="14"/>
      <c r="O71" s="14"/>
      <c r="P71" s="14"/>
      <c r="Q71" s="15"/>
      <c r="R71" s="14"/>
      <c r="S71" s="14"/>
      <c r="T71" s="15"/>
      <c r="U71" s="15"/>
      <c r="V71" s="14"/>
      <c r="W71" s="14"/>
      <c r="X71" s="14"/>
      <c r="Y71" s="16"/>
    </row>
    <row r="72" spans="1:25" x14ac:dyDescent="0.25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5"/>
      <c r="L72" s="14"/>
      <c r="M72" s="14"/>
      <c r="N72" s="14"/>
      <c r="O72" s="14"/>
      <c r="P72" s="14"/>
      <c r="Q72" s="15"/>
      <c r="R72" s="14"/>
      <c r="S72" s="14"/>
      <c r="T72" s="15"/>
      <c r="U72" s="15"/>
      <c r="V72" s="14"/>
      <c r="W72" s="14"/>
      <c r="X72" s="14"/>
      <c r="Y72" s="16"/>
    </row>
    <row r="73" spans="1:25" x14ac:dyDescent="0.25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5"/>
      <c r="L73" s="14"/>
      <c r="M73" s="14"/>
      <c r="N73" s="14"/>
      <c r="O73" s="14"/>
      <c r="P73" s="14"/>
      <c r="Q73" s="15"/>
      <c r="R73" s="14"/>
      <c r="S73" s="14"/>
      <c r="T73" s="15"/>
      <c r="U73" s="15"/>
      <c r="V73" s="14"/>
      <c r="W73" s="14"/>
      <c r="X73" s="14"/>
      <c r="Y73" s="16"/>
    </row>
    <row r="74" spans="1:25" x14ac:dyDescent="0.25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14"/>
      <c r="M74" s="14"/>
      <c r="N74" s="14"/>
      <c r="O74" s="14"/>
      <c r="P74" s="14"/>
      <c r="Q74" s="15"/>
      <c r="R74" s="14"/>
      <c r="S74" s="14"/>
      <c r="T74" s="15"/>
      <c r="U74" s="15"/>
      <c r="V74" s="14"/>
      <c r="W74" s="14"/>
      <c r="X74" s="14"/>
      <c r="Y74" s="16"/>
    </row>
    <row r="75" spans="1:25" x14ac:dyDescent="0.2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5"/>
      <c r="L75" s="14"/>
      <c r="M75" s="14"/>
      <c r="N75" s="14"/>
      <c r="O75" s="14"/>
      <c r="P75" s="14"/>
      <c r="Q75" s="15"/>
      <c r="R75" s="14"/>
      <c r="S75" s="14"/>
      <c r="T75" s="15"/>
      <c r="U75" s="15"/>
      <c r="V75" s="14"/>
      <c r="W75" s="14"/>
      <c r="X75" s="14"/>
      <c r="Y75" s="16"/>
    </row>
    <row r="76" spans="1:25" x14ac:dyDescent="0.25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5"/>
      <c r="L76" s="14"/>
      <c r="M76" s="14"/>
      <c r="N76" s="14"/>
      <c r="O76" s="14"/>
      <c r="P76" s="14"/>
      <c r="Q76" s="15"/>
      <c r="R76" s="14"/>
      <c r="S76" s="14"/>
      <c r="T76" s="15"/>
      <c r="U76" s="15"/>
      <c r="V76" s="14"/>
      <c r="W76" s="14"/>
      <c r="X76" s="14"/>
      <c r="Y76" s="16"/>
    </row>
    <row r="77" spans="1:25" x14ac:dyDescent="0.25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5"/>
      <c r="L77" s="14"/>
      <c r="M77" s="14"/>
      <c r="N77" s="14"/>
      <c r="O77" s="14"/>
      <c r="P77" s="14"/>
      <c r="Q77" s="15"/>
      <c r="R77" s="14"/>
      <c r="S77" s="14"/>
      <c r="T77" s="15"/>
      <c r="U77" s="15"/>
      <c r="V77" s="14"/>
      <c r="W77" s="14"/>
      <c r="X77" s="14"/>
      <c r="Y77" s="16"/>
    </row>
    <row r="78" spans="1:25" x14ac:dyDescent="0.25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5"/>
      <c r="L78" s="14"/>
      <c r="M78" s="14"/>
      <c r="N78" s="14"/>
      <c r="O78" s="14"/>
      <c r="P78" s="14"/>
      <c r="Q78" s="15"/>
      <c r="R78" s="14"/>
      <c r="S78" s="14"/>
      <c r="T78" s="15"/>
      <c r="U78" s="15"/>
      <c r="V78" s="14"/>
      <c r="W78" s="14"/>
      <c r="X78" s="14"/>
      <c r="Y78" s="16"/>
    </row>
    <row r="79" spans="1:25" x14ac:dyDescent="0.25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5"/>
      <c r="L79" s="14"/>
      <c r="M79" s="14"/>
      <c r="N79" s="14"/>
      <c r="O79" s="14"/>
      <c r="P79" s="14"/>
      <c r="Q79" s="15"/>
      <c r="R79" s="14"/>
      <c r="S79" s="14"/>
      <c r="T79" s="15"/>
      <c r="U79" s="15"/>
      <c r="V79" s="14"/>
      <c r="W79" s="14"/>
      <c r="X79" s="14"/>
      <c r="Y79" s="16"/>
    </row>
    <row r="80" spans="1:25" x14ac:dyDescent="0.25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5"/>
      <c r="L80" s="14"/>
      <c r="M80" s="14"/>
      <c r="N80" s="14"/>
      <c r="O80" s="14"/>
      <c r="P80" s="14"/>
      <c r="Q80" s="15"/>
      <c r="R80" s="14"/>
      <c r="S80" s="14"/>
      <c r="T80" s="15"/>
      <c r="U80" s="15"/>
      <c r="V80" s="14"/>
      <c r="W80" s="14"/>
      <c r="X80" s="14"/>
      <c r="Y80" s="16"/>
    </row>
    <row r="81" spans="1:25" x14ac:dyDescent="0.25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5"/>
      <c r="L81" s="14"/>
      <c r="M81" s="14"/>
      <c r="N81" s="14"/>
      <c r="O81" s="14"/>
      <c r="P81" s="14"/>
      <c r="Q81" s="15"/>
      <c r="R81" s="14"/>
      <c r="S81" s="14"/>
      <c r="T81" s="15"/>
      <c r="U81" s="15"/>
      <c r="V81" s="14"/>
      <c r="W81" s="14"/>
      <c r="X81" s="14"/>
      <c r="Y81" s="16"/>
    </row>
    <row r="82" spans="1:25" x14ac:dyDescent="0.25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5"/>
      <c r="L82" s="14"/>
      <c r="M82" s="14"/>
      <c r="N82" s="14"/>
      <c r="O82" s="14"/>
      <c r="P82" s="14"/>
      <c r="Q82" s="15"/>
      <c r="R82" s="14"/>
      <c r="S82" s="14"/>
      <c r="T82" s="15"/>
      <c r="U82" s="15"/>
      <c r="V82" s="14"/>
      <c r="W82" s="14"/>
      <c r="X82" s="14"/>
      <c r="Y82" s="16"/>
    </row>
    <row r="83" spans="1:25" x14ac:dyDescent="0.25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5"/>
      <c r="L83" s="14"/>
      <c r="M83" s="14"/>
      <c r="N83" s="14"/>
      <c r="O83" s="14"/>
      <c r="P83" s="14"/>
      <c r="Q83" s="15"/>
      <c r="R83" s="14"/>
      <c r="S83" s="14"/>
      <c r="T83" s="15"/>
      <c r="U83" s="15"/>
      <c r="V83" s="14"/>
      <c r="W83" s="14"/>
      <c r="X83" s="14"/>
      <c r="Y83" s="16"/>
    </row>
    <row r="84" spans="1:25" x14ac:dyDescent="0.25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14"/>
      <c r="M84" s="14"/>
      <c r="N84" s="14"/>
      <c r="O84" s="14"/>
      <c r="P84" s="14"/>
      <c r="Q84" s="15"/>
      <c r="R84" s="14"/>
      <c r="S84" s="14"/>
      <c r="T84" s="15"/>
      <c r="U84" s="15"/>
      <c r="V84" s="14"/>
      <c r="W84" s="14"/>
      <c r="X84" s="14"/>
      <c r="Y84" s="16"/>
    </row>
    <row r="85" spans="1:25" x14ac:dyDescent="0.25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4"/>
      <c r="M85" s="14"/>
      <c r="N85" s="14"/>
      <c r="O85" s="14"/>
      <c r="P85" s="14"/>
      <c r="Q85" s="15"/>
      <c r="R85" s="14"/>
      <c r="S85" s="14"/>
      <c r="T85" s="15"/>
      <c r="U85" s="15"/>
      <c r="V85" s="14"/>
      <c r="W85" s="14"/>
      <c r="X85" s="14"/>
      <c r="Y85" s="16"/>
    </row>
    <row r="86" spans="1:25" x14ac:dyDescent="0.25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4"/>
      <c r="M86" s="14"/>
      <c r="N86" s="14"/>
      <c r="O86" s="14"/>
      <c r="P86" s="14"/>
      <c r="Q86" s="15"/>
      <c r="R86" s="14"/>
      <c r="S86" s="14"/>
      <c r="T86" s="15"/>
      <c r="U86" s="15"/>
      <c r="V86" s="14"/>
      <c r="W86" s="14"/>
      <c r="X86" s="14"/>
      <c r="Y86" s="16"/>
    </row>
    <row r="87" spans="1:25" x14ac:dyDescent="0.25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14"/>
      <c r="M87" s="14"/>
      <c r="N87" s="14"/>
      <c r="O87" s="14"/>
      <c r="P87" s="14"/>
      <c r="Q87" s="15"/>
      <c r="R87" s="14"/>
      <c r="S87" s="14"/>
      <c r="T87" s="15"/>
      <c r="U87" s="15"/>
      <c r="V87" s="14"/>
      <c r="W87" s="14"/>
      <c r="X87" s="14"/>
      <c r="Y87" s="16"/>
    </row>
    <row r="88" spans="1:25" x14ac:dyDescent="0.25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14"/>
      <c r="M88" s="14"/>
      <c r="N88" s="14"/>
      <c r="O88" s="14"/>
      <c r="P88" s="14"/>
      <c r="Q88" s="15"/>
      <c r="R88" s="14"/>
      <c r="S88" s="14"/>
      <c r="T88" s="15"/>
      <c r="U88" s="15"/>
      <c r="V88" s="14"/>
      <c r="W88" s="14"/>
      <c r="X88" s="14"/>
      <c r="Y88" s="16"/>
    </row>
    <row r="89" spans="1:25" x14ac:dyDescent="0.25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5"/>
      <c r="L89" s="14"/>
      <c r="M89" s="14"/>
      <c r="N89" s="14"/>
      <c r="O89" s="14"/>
      <c r="P89" s="14"/>
      <c r="Q89" s="15"/>
      <c r="R89" s="14"/>
      <c r="S89" s="14"/>
      <c r="T89" s="15"/>
      <c r="U89" s="15"/>
      <c r="V89" s="14"/>
      <c r="W89" s="14"/>
      <c r="X89" s="14"/>
      <c r="Y89" s="16"/>
    </row>
    <row r="90" spans="1:25" x14ac:dyDescent="0.25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5"/>
      <c r="L90" s="14"/>
      <c r="M90" s="14"/>
      <c r="N90" s="14"/>
      <c r="O90" s="14"/>
      <c r="P90" s="14"/>
      <c r="Q90" s="15"/>
      <c r="R90" s="14"/>
      <c r="S90" s="14"/>
      <c r="T90" s="15"/>
      <c r="U90" s="15"/>
      <c r="V90" s="14"/>
      <c r="W90" s="14"/>
      <c r="X90" s="14"/>
      <c r="Y90" s="16"/>
    </row>
    <row r="91" spans="1:25" x14ac:dyDescent="0.25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14"/>
      <c r="M91" s="14"/>
      <c r="N91" s="14"/>
      <c r="O91" s="14"/>
      <c r="P91" s="14"/>
      <c r="Q91" s="15"/>
      <c r="R91" s="14"/>
      <c r="S91" s="14"/>
      <c r="T91" s="15"/>
      <c r="U91" s="15"/>
      <c r="V91" s="14"/>
      <c r="W91" s="14"/>
      <c r="X91" s="14"/>
      <c r="Y91" s="16"/>
    </row>
    <row r="92" spans="1:25" x14ac:dyDescent="0.25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4"/>
      <c r="M92" s="14"/>
      <c r="N92" s="14"/>
      <c r="O92" s="14"/>
      <c r="P92" s="14"/>
      <c r="Q92" s="15"/>
      <c r="R92" s="14"/>
      <c r="S92" s="14"/>
      <c r="T92" s="15"/>
      <c r="U92" s="15"/>
      <c r="V92" s="14"/>
      <c r="W92" s="14"/>
      <c r="X92" s="14"/>
      <c r="Y92" s="16"/>
    </row>
    <row r="93" spans="1:25" x14ac:dyDescent="0.25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4"/>
      <c r="M93" s="14"/>
      <c r="N93" s="14"/>
      <c r="O93" s="14"/>
      <c r="P93" s="14"/>
      <c r="Q93" s="15"/>
      <c r="R93" s="14"/>
      <c r="S93" s="14"/>
      <c r="T93" s="15"/>
      <c r="U93" s="15"/>
      <c r="V93" s="14"/>
      <c r="W93" s="14"/>
      <c r="X93" s="14"/>
      <c r="Y93" s="16"/>
    </row>
    <row r="94" spans="1:25" x14ac:dyDescent="0.25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/>
      <c r="L94" s="14"/>
      <c r="M94" s="14"/>
      <c r="N94" s="14"/>
      <c r="O94" s="14"/>
      <c r="P94" s="14"/>
      <c r="Q94" s="15"/>
      <c r="R94" s="14"/>
      <c r="S94" s="14"/>
      <c r="T94" s="15"/>
      <c r="U94" s="15"/>
      <c r="V94" s="14"/>
      <c r="W94" s="14"/>
      <c r="X94" s="14"/>
      <c r="Y94" s="16"/>
    </row>
    <row r="95" spans="1:25" x14ac:dyDescent="0.2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14"/>
      <c r="M95" s="14"/>
      <c r="N95" s="14"/>
      <c r="O95" s="14"/>
      <c r="P95" s="14"/>
      <c r="Q95" s="15"/>
      <c r="R95" s="14"/>
      <c r="S95" s="14"/>
      <c r="T95" s="15"/>
      <c r="U95" s="15"/>
      <c r="V95" s="14"/>
      <c r="W95" s="14"/>
      <c r="X95" s="14"/>
      <c r="Y95" s="16"/>
    </row>
    <row r="96" spans="1:25" x14ac:dyDescent="0.25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14"/>
      <c r="M96" s="14"/>
      <c r="N96" s="14"/>
      <c r="O96" s="14"/>
      <c r="P96" s="14"/>
      <c r="Q96" s="15"/>
      <c r="R96" s="14"/>
      <c r="S96" s="14"/>
      <c r="T96" s="15"/>
      <c r="U96" s="15"/>
      <c r="V96" s="14"/>
      <c r="W96" s="14"/>
      <c r="X96" s="14"/>
      <c r="Y96" s="16"/>
    </row>
    <row r="97" spans="1:25" x14ac:dyDescent="0.25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5"/>
      <c r="L97" s="14"/>
      <c r="M97" s="14"/>
      <c r="N97" s="14"/>
      <c r="O97" s="14"/>
      <c r="P97" s="14"/>
      <c r="Q97" s="15"/>
      <c r="R97" s="14"/>
      <c r="S97" s="14"/>
      <c r="T97" s="15"/>
      <c r="U97" s="15"/>
      <c r="V97" s="14"/>
      <c r="W97" s="14"/>
      <c r="X97" s="14"/>
      <c r="Y97" s="16"/>
    </row>
    <row r="98" spans="1:25" x14ac:dyDescent="0.25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5"/>
      <c r="L98" s="14"/>
      <c r="M98" s="14"/>
      <c r="N98" s="14"/>
      <c r="O98" s="14"/>
      <c r="P98" s="14"/>
      <c r="Q98" s="15"/>
      <c r="R98" s="14"/>
      <c r="S98" s="14"/>
      <c r="T98" s="15"/>
      <c r="U98" s="15"/>
      <c r="V98" s="14"/>
      <c r="W98" s="14"/>
      <c r="X98" s="14"/>
      <c r="Y98" s="16"/>
    </row>
    <row r="99" spans="1:25" x14ac:dyDescent="0.25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14"/>
      <c r="M99" s="14"/>
      <c r="N99" s="14"/>
      <c r="O99" s="14"/>
      <c r="P99" s="14"/>
      <c r="Q99" s="15"/>
      <c r="R99" s="14"/>
      <c r="S99" s="14"/>
      <c r="T99" s="15"/>
      <c r="U99" s="15"/>
      <c r="V99" s="14"/>
      <c r="W99" s="14"/>
      <c r="X99" s="14"/>
      <c r="Y99" s="16"/>
    </row>
    <row r="100" spans="1:25" x14ac:dyDescent="0.25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9"/>
      <c r="L100" s="18"/>
      <c r="M100" s="18"/>
      <c r="N100" s="18"/>
      <c r="O100" s="18"/>
      <c r="P100" s="18"/>
      <c r="Q100" s="19"/>
      <c r="R100" s="18"/>
      <c r="S100" s="18"/>
      <c r="T100" s="19"/>
      <c r="U100" s="19"/>
      <c r="V100" s="18"/>
      <c r="W100" s="18"/>
      <c r="X100" s="18"/>
      <c r="Y100" s="20"/>
    </row>
  </sheetData>
  <mergeCells count="2">
    <mergeCell ref="A1:Y1"/>
    <mergeCell ref="A2:Y2"/>
  </mergeCells>
  <conditionalFormatting sqref="I5:I100">
    <cfRule type="containsText" dxfId="0" priority="1">
      <formula>NOT(ISERROR(SEARCH("undefined",I5)))</formula>
    </cfRule>
    <cfRule type="containsText" dxfId="1" priority="2">
      <formula>NOT(ISERROR(SEARCH("undefined",I5)))</formula>
    </cfRule>
    <cfRule type="containsText" dxfId="2" priority="3">
      <formula>NOT(ISERROR(SEARCH("undefined",I5)))</formula>
    </cfRule>
    <cfRule type="containsText" dxfId="3" priority="4">
      <formula>NOT(ISERROR(SEARCH("undefined",I5)))</formula>
    </cfRule>
    <cfRule type="containsText" dxfId="4" priority="5">
      <formula>NOT(ISERROR(SEARCH("undefined",I5)))</formula>
    </cfRule>
  </conditionalFormatting>
  <dataValidations count="6">
    <dataValidation type="list" sqref="I10:I100">
      <formula1>"เปิดรับ,Rolling,ยังไม่เปิดรอบ,ปิดรับแล้ว,ไม่พบประกาศปัจจุบัน"</formula1>
    </dataValidation>
    <dataValidation type="list" sqref="I5:I100">
      <formula1>"เปิดรับ,Rolling,ยังไม่เปิดรอบ,ปิดรับแล้ว,ไม่พบประกาศปัจจุบัน"</formula1>
    </dataValidation>
    <dataValidation type="list" sqref="R10:R100">
      <formula1>"A,B,C"</formula1>
    </dataValidation>
    <dataValidation type="list" sqref="R5:R100">
      <formula1>"A,B,C"</formula1>
    </dataValidation>
    <dataValidation type="list" sqref="S10:S100">
      <formula1>"ไม่รับ,ติดต่อแล้ว,กำลังดำเนินการ,รับแล้ว,เลยช่วง,ไม่มี"</formula1>
    </dataValidation>
    <dataValidation type="list" sqref="S5:S100">
      <formula1>"ไม่รับ,ติดต่อแล้ว,กำลังดำเนินการ,รับแล้ว,เลยช่วง,ไม่มี"</formula1>
    </dataValidation>
  </dataValidations>
  <hyperlinks>
    <hyperlink ref="H5" r:id="rId1"/>
    <hyperlink ref="O5" r:id="rId2"/>
    <hyperlink ref="P5" r:id="rId3"/>
    <hyperlink ref="H6" r:id="rId4"/>
    <hyperlink ref="O6" r:id="rId5"/>
    <hyperlink ref="P6" r:id="rId6"/>
    <hyperlink ref="H7" r:id="rId7"/>
    <hyperlink ref="O7" r:id="rId8"/>
    <hyperlink ref="P7" r:id="rId9"/>
    <hyperlink ref="H8" r:id="rId10"/>
    <hyperlink ref="O8" r:id="rId11"/>
    <hyperlink ref="P8" r:id="rId12"/>
  </hyperlinks>
  <pageMargins left="0.7" right="0.7" top="0.75" bottom="0.75" header="0.3" footer="0.3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showGridLines="0" zoomScale="100" zoomScaleNormal="100"/>
  </sheetViews>
  <sheetFormatPr defaultRowHeight="15" outlineLevelRow="0" outlineLevelCol="0" x14ac:dyDescent="0"/>
  <cols>
    <col min="1" max="1" width="34" customWidth="1"/>
    <col min="2" max="2" width="14" customWidth="1"/>
    <col min="3" max="3" width="4" customWidth="1"/>
    <col min="4" max="4" width="34" customWidth="1"/>
    <col min="5" max="5" width="16" customWidth="1"/>
  </cols>
  <sheetData>
    <row r="1" spans="1:5" x14ac:dyDescent="0.25">
      <c r="A1" s="21" t="s">
        <v>85</v>
      </c>
      <c r="B1" s="21"/>
      <c r="C1" s="21"/>
      <c r="D1" s="21"/>
      <c r="E1" s="21"/>
    </row>
    <row r="2" spans="1:5" x14ac:dyDescent="0.25">
      <c r="A2" s="21" t="s">
        <v>86</v>
      </c>
      <c r="B2" s="21"/>
      <c r="C2" s="21"/>
      <c r="D2" s="21"/>
      <c r="E2" s="21"/>
    </row>
    <row r="3" spans="1:5" x14ac:dyDescent="0.25">
      <c r="A3" s="22"/>
      <c r="B3" s="22"/>
      <c r="C3" s="22"/>
      <c r="D3" s="22"/>
      <c r="E3" s="22"/>
    </row>
    <row r="4" spans="1:5" x14ac:dyDescent="0.25">
      <c r="A4" s="23" t="s">
        <v>87</v>
      </c>
      <c r="B4" s="23" t="s">
        <v>88</v>
      </c>
      <c r="C4" s="23"/>
      <c r="D4" s="23" t="s">
        <v>89</v>
      </c>
      <c r="E4" s="23" t="s">
        <v>90</v>
      </c>
    </row>
    <row r="5" spans="1:5" x14ac:dyDescent="0.25">
      <c r="A5" s="22" t="s">
        <v>91</v>
      </c>
      <c r="B5" s="22">
        <f>COUNTA('บริษัทฝึกงาน'!B5:B100)</f>
        <v>4</v>
      </c>
      <c r="C5" s="22"/>
      <c r="D5" s="22" t="s">
        <v>92</v>
      </c>
      <c r="E5" s="22">
        <f>COUNTIF('บริษัทฝึกงาน'!D5:D100,"*SWE*")+COUNTIF('บริษัทฝึกงาน'!D5:D100,"*Software*")</f>
        <v>0</v>
      </c>
    </row>
    <row r="6" spans="1:5" x14ac:dyDescent="0.25">
      <c r="A6" s="22" t="s">
        <v>50</v>
      </c>
      <c r="B6" s="22">
        <f>COUNTIF('บริษัทฝึกงาน'!I5:I100,"เปิดรับ")</f>
        <v>2</v>
      </c>
      <c r="C6" s="22"/>
      <c r="D6" s="22" t="s">
        <v>93</v>
      </c>
      <c r="E6" s="22">
        <f>COUNTIF('บริษัทฝึกงาน'!D5:D100,"*AI*")+COUNTIF('บริษัทฝึกงาน'!D5:D100,"*Data*")</f>
        <v>0</v>
      </c>
    </row>
    <row r="7" spans="1:5" x14ac:dyDescent="0.25">
      <c r="A7" s="22" t="s">
        <v>34</v>
      </c>
      <c r="B7" s="22">
        <f>COUNTIF('บริษัทฝึกงาน'!I5:I100,"Rolling")</f>
        <v>2</v>
      </c>
      <c r="C7" s="22"/>
      <c r="D7" s="22" t="s">
        <v>94</v>
      </c>
      <c r="E7" s="22">
        <f>COUNTIF('บริษัทฝึกงาน'!D5:D100,"*QA*")+COUNTIF('บริษัทฝึกงาน'!D5:D100,"*Testing*")</f>
        <v>0</v>
      </c>
    </row>
    <row r="8" spans="1:5" x14ac:dyDescent="0.25">
      <c r="A8" s="22" t="s">
        <v>95</v>
      </c>
      <c r="B8" s="22">
        <f>B6+B7</f>
        <v>4</v>
      </c>
      <c r="C8" s="22"/>
      <c r="D8" s="22" t="s">
        <v>96</v>
      </c>
      <c r="E8" s="22">
        <f>COUNTIF('บริษัทฝึกงาน'!D5:D100,"*Cloud*")+COUNTIF('บริษัทฝึกงาน'!D5:D100,"*DevOps*")</f>
        <v>0</v>
      </c>
    </row>
    <row r="9" spans="1:5" x14ac:dyDescent="0.25">
      <c r="A9" s="22" t="s">
        <v>97</v>
      </c>
      <c r="B9" s="22">
        <f>COUNTIF('บริษัทฝึกงาน'!I5:I100,"ยังไม่เปิดรอบ")</f>
        <v>0</v>
      </c>
      <c r="C9" s="22"/>
      <c r="D9" s="22" t="s">
        <v>98</v>
      </c>
      <c r="E9" s="22">
        <f>COUNTIF('บริษัทฝึกงาน'!D5:D100,"*Cyber*")</f>
        <v>0</v>
      </c>
    </row>
    <row r="10" spans="1:5" x14ac:dyDescent="0.25">
      <c r="A10" s="22" t="s">
        <v>99</v>
      </c>
      <c r="B10" s="22">
        <f>COUNTIF('บริษัทฝึกงาน'!I5:I100,"ปิดรับแล้ว")</f>
        <v>0</v>
      </c>
      <c r="C10" s="22"/>
      <c r="D10" s="22"/>
      <c r="E10" s="22"/>
    </row>
    <row r="11" spans="1:5" x14ac:dyDescent="0.25">
      <c r="A11" s="22" t="s">
        <v>100</v>
      </c>
      <c r="B11" s="22">
        <f>COUNTIF('บริษัทฝึกงาน'!I5:I100,"ไม่พบประกาศปัจจุบัน")</f>
        <v>0</v>
      </c>
      <c r="C11" s="22"/>
      <c r="D11" s="22"/>
      <c r="E11" s="22"/>
    </row>
    <row r="12" spans="1:5" x14ac:dyDescent="0.25">
      <c r="A12" s="22" t="s">
        <v>101</v>
      </c>
      <c r="B12" s="22">
        <f>COUNTIF('บริษัทฝึกงาน'!I5:I100,"ต้องยืนยัน")</f>
        <v>0</v>
      </c>
      <c r="C12" s="22"/>
      <c r="D12" s="22"/>
      <c r="E12" s="22"/>
    </row>
    <row r="13" spans="1:5" x14ac:dyDescent="0.25">
      <c r="A13" s="22" t="s">
        <v>102</v>
      </c>
      <c r="B13" s="22">
        <f>0</f>
        <v>0</v>
      </c>
      <c r="C13" s="22"/>
      <c r="D13" s="22"/>
      <c r="E13" s="22"/>
    </row>
    <row r="14" spans="1:5" x14ac:dyDescent="0.25">
      <c r="A14" s="22"/>
      <c r="B14" s="22"/>
      <c r="C14" s="22"/>
      <c r="D14" s="22"/>
      <c r="E14" s="22"/>
    </row>
    <row r="15" spans="1:5" x14ac:dyDescent="0.25">
      <c r="A15" s="22"/>
      <c r="B15" s="22"/>
      <c r="C15" s="22"/>
      <c r="D15" s="22"/>
      <c r="E15" s="22"/>
    </row>
    <row r="16" spans="1:5" x14ac:dyDescent="0.25">
      <c r="A16" s="22"/>
      <c r="B16" s="22"/>
      <c r="C16" s="22"/>
      <c r="D16" s="22"/>
      <c r="E16" s="22"/>
    </row>
    <row r="17" spans="1:5" x14ac:dyDescent="0.25">
      <c r="A17" s="22"/>
      <c r="B17" s="22"/>
      <c r="C17" s="22"/>
      <c r="D17" s="22"/>
      <c r="E17" s="22"/>
    </row>
    <row r="18" spans="1:5" x14ac:dyDescent="0.25">
      <c r="A18" s="22"/>
      <c r="B18" s="22"/>
      <c r="C18" s="22"/>
      <c r="D18" s="22"/>
      <c r="E18" s="22"/>
    </row>
    <row r="19" spans="1:5" x14ac:dyDescent="0.25">
      <c r="A19" s="22"/>
      <c r="B19" s="22"/>
      <c r="C19" s="22"/>
      <c r="D19" s="22"/>
      <c r="E19" s="22"/>
    </row>
    <row r="20" spans="1:5" x14ac:dyDescent="0.25">
      <c r="A20" s="22"/>
      <c r="B20" s="22"/>
      <c r="C20" s="22"/>
      <c r="D20" s="22"/>
      <c r="E20" s="22"/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showGridLines="0" zoomScale="100" zoomScaleNormal="100"/>
  </sheetViews>
  <sheetFormatPr defaultRowHeight="15" outlineLevelRow="0" outlineLevelCol="0" x14ac:dyDescent="0"/>
  <cols>
    <col min="1" max="1" width="26" customWidth="1"/>
    <col min="2" max="2" width="44" customWidth="1"/>
    <col min="4" max="4" width="14" customWidth="1"/>
    <col min="5" max="5" width="52" customWidth="1"/>
    <col min="7" max="7" width="18" customWidth="1"/>
    <col min="8" max="8" width="64" customWidth="1"/>
  </cols>
  <sheetData>
    <row r="1" spans="1:8" x14ac:dyDescent="0.25">
      <c r="A1" s="21" t="s">
        <v>103</v>
      </c>
      <c r="B1" s="21"/>
      <c r="C1" s="21"/>
      <c r="D1" s="21"/>
      <c r="E1" s="21"/>
      <c r="F1" s="21"/>
      <c r="G1" s="21"/>
      <c r="H1" s="21"/>
    </row>
    <row r="2" spans="1:8" x14ac:dyDescent="0.25">
      <c r="A2" s="21" t="s">
        <v>104</v>
      </c>
      <c r="B2" s="21"/>
      <c r="C2" s="21"/>
      <c r="D2" s="21"/>
      <c r="E2" s="21"/>
      <c r="F2" s="21"/>
      <c r="G2" s="21"/>
      <c r="H2" s="21"/>
    </row>
    <row r="3" spans="1:8" x14ac:dyDescent="0.25">
      <c r="A3" s="22"/>
      <c r="B3" s="22"/>
      <c r="C3" s="22"/>
      <c r="D3" s="22"/>
      <c r="E3" s="22"/>
      <c r="F3" s="22"/>
      <c r="G3" s="22"/>
      <c r="H3" s="22"/>
    </row>
    <row r="4" spans="1:8" x14ac:dyDescent="0.25">
      <c r="A4" s="23" t="s">
        <v>10</v>
      </c>
      <c r="B4" s="23" t="s">
        <v>105</v>
      </c>
      <c r="C4" s="23"/>
      <c r="D4" s="23" t="s">
        <v>19</v>
      </c>
      <c r="E4" s="23" t="s">
        <v>106</v>
      </c>
      <c r="F4" s="23"/>
      <c r="G4" s="23" t="s">
        <v>107</v>
      </c>
      <c r="H4" s="23" t="s">
        <v>108</v>
      </c>
    </row>
    <row r="5" spans="1:8" x14ac:dyDescent="0.25">
      <c r="A5" s="22" t="s">
        <v>50</v>
      </c>
      <c r="B5" s="22" t="s">
        <v>109</v>
      </c>
      <c r="C5" s="22"/>
      <c r="D5" s="22" t="s">
        <v>40</v>
      </c>
      <c r="E5" s="22" t="s">
        <v>110</v>
      </c>
      <c r="F5" s="22"/>
      <c r="G5" s="22" t="s">
        <v>111</v>
      </c>
      <c r="H5" s="22" t="s">
        <v>112</v>
      </c>
    </row>
    <row r="6" spans="1:8" x14ac:dyDescent="0.25">
      <c r="A6" s="22" t="s">
        <v>34</v>
      </c>
      <c r="B6" s="22" t="s">
        <v>113</v>
      </c>
      <c r="C6" s="22"/>
      <c r="D6" s="22" t="s">
        <v>114</v>
      </c>
      <c r="E6" s="22" t="s">
        <v>115</v>
      </c>
      <c r="F6" s="22"/>
      <c r="G6" s="22" t="s">
        <v>116</v>
      </c>
      <c r="H6" s="22" t="s">
        <v>117</v>
      </c>
    </row>
    <row r="7" spans="1:8" x14ac:dyDescent="0.25">
      <c r="A7" s="22" t="s">
        <v>97</v>
      </c>
      <c r="B7" s="22" t="s">
        <v>118</v>
      </c>
      <c r="C7" s="22"/>
      <c r="D7" s="22" t="s">
        <v>119</v>
      </c>
      <c r="E7" s="22" t="s">
        <v>120</v>
      </c>
      <c r="F7" s="22"/>
      <c r="G7" s="22" t="s">
        <v>121</v>
      </c>
      <c r="H7" s="22" t="s">
        <v>122</v>
      </c>
    </row>
    <row r="8" spans="1:8" x14ac:dyDescent="0.25">
      <c r="A8" s="22" t="s">
        <v>99</v>
      </c>
      <c r="B8" s="22" t="s">
        <v>123</v>
      </c>
      <c r="C8" s="22"/>
      <c r="D8" s="22"/>
      <c r="E8" s="22"/>
      <c r="F8" s="22"/>
      <c r="G8" s="22" t="s">
        <v>124</v>
      </c>
      <c r="H8" s="22" t="s">
        <v>125</v>
      </c>
    </row>
    <row r="9" spans="1:8" x14ac:dyDescent="0.25">
      <c r="A9" s="22" t="s">
        <v>100</v>
      </c>
      <c r="B9" s="22" t="s">
        <v>126</v>
      </c>
      <c r="C9" s="22"/>
      <c r="D9" s="22"/>
      <c r="E9" s="22"/>
      <c r="F9" s="22"/>
      <c r="G9" s="22" t="s">
        <v>127</v>
      </c>
      <c r="H9" s="22" t="s">
        <v>128</v>
      </c>
    </row>
    <row r="10" spans="1:8" x14ac:dyDescent="0.25">
      <c r="A10" s="22"/>
      <c r="B10" s="22"/>
      <c r="C10" s="22"/>
      <c r="D10" s="22"/>
      <c r="E10" s="22"/>
      <c r="F10" s="22"/>
      <c r="G10" s="22" t="s">
        <v>129</v>
      </c>
      <c r="H10" s="22" t="s">
        <v>130</v>
      </c>
    </row>
    <row r="11" spans="1:8" x14ac:dyDescent="0.25">
      <c r="A11" s="22"/>
      <c r="B11" s="22"/>
      <c r="C11" s="22"/>
      <c r="D11" s="22"/>
      <c r="E11" s="22"/>
      <c r="F11" s="22"/>
      <c r="G11" s="22" t="s">
        <v>131</v>
      </c>
      <c r="H11" s="22" t="s">
        <v>132</v>
      </c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  <row r="13" spans="1:8" x14ac:dyDescent="0.25">
      <c r="A13" s="22" t="s">
        <v>133</v>
      </c>
      <c r="B13" s="22"/>
      <c r="C13" s="22"/>
      <c r="D13" s="22"/>
      <c r="E13" s="22"/>
      <c r="F13" s="22"/>
      <c r="G13" s="22"/>
      <c r="H13" s="22"/>
    </row>
    <row r="14" spans="1:8" x14ac:dyDescent="0.25">
      <c r="A14" s="22"/>
      <c r="B14" s="22"/>
      <c r="C14" s="22"/>
      <c r="D14" s="22"/>
      <c r="E14" s="22"/>
      <c r="F14" s="22"/>
      <c r="G14" s="22"/>
      <c r="H14" s="22"/>
    </row>
    <row r="15" spans="1:8" x14ac:dyDescent="0.25">
      <c r="A15" s="22"/>
      <c r="B15" s="22"/>
      <c r="C15" s="22"/>
      <c r="D15" s="22"/>
      <c r="E15" s="22"/>
      <c r="F15" s="22"/>
      <c r="G15" s="22"/>
      <c r="H15" s="22"/>
    </row>
    <row r="16" spans="1:8" x14ac:dyDescent="0.25">
      <c r="A16" s="22"/>
      <c r="B16" s="22"/>
      <c r="C16" s="22"/>
      <c r="D16" s="22"/>
      <c r="E16" s="22"/>
      <c r="F16" s="22"/>
      <c r="G16" s="22"/>
      <c r="H16" s="22"/>
    </row>
    <row r="17" spans="1:8" x14ac:dyDescent="0.25">
      <c r="A17" s="22"/>
      <c r="B17" s="22"/>
      <c r="C17" s="22"/>
      <c r="D17" s="22"/>
      <c r="E17" s="22"/>
      <c r="F17" s="22"/>
      <c r="G17" s="22"/>
      <c r="H17" s="22"/>
    </row>
    <row r="18" spans="1:8" x14ac:dyDescent="0.25">
      <c r="A18" s="22"/>
      <c r="B18" s="22"/>
      <c r="C18" s="22"/>
      <c r="D18" s="22"/>
      <c r="E18" s="22"/>
      <c r="F18" s="22"/>
      <c r="G18" s="22"/>
      <c r="H18" s="22"/>
    </row>
    <row r="19" spans="1:8" x14ac:dyDescent="0.25">
      <c r="A19" s="22"/>
      <c r="B19" s="22"/>
      <c r="C19" s="22"/>
      <c r="D19" s="22"/>
      <c r="E19" s="22"/>
      <c r="F19" s="22"/>
      <c r="G19" s="22"/>
      <c r="H19" s="22"/>
    </row>
    <row r="20" spans="1:8" x14ac:dyDescent="0.25">
      <c r="A20" s="22"/>
      <c r="B20" s="22"/>
      <c r="C20" s="22"/>
      <c r="D20" s="22"/>
      <c r="E20" s="22"/>
      <c r="F20" s="22"/>
      <c r="G20" s="22"/>
      <c r="H20" s="22"/>
    </row>
  </sheetData>
  <mergeCells count="3">
    <mergeCell ref="A1:H1"/>
    <mergeCell ref="A2:H2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บริษัทฝึกงาน</vt:lpstr>
      <vt:lpstr>สรุปและลำดับดำเนินการ</vt:lpstr>
      <vt:lpstr>คำอธิบายและแหล่งข้อมูล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2026-09-04T09:43:54Z</dcterms:created>
  <dcterms:modified xsi:type="dcterms:W3CDTF">2026-09-04T09:43:54Z</dcterms:modified>
</cp:coreProperties>
</file>